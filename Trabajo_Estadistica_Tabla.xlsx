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Familia\Desktop\"/>
    </mc:Choice>
  </mc:AlternateContent>
  <xr:revisionPtr revIDLastSave="0" documentId="13_ncr:1_{1D3F91C8-B4E4-4230-A885-655B658DFD7F}" xr6:coauthVersionLast="47" xr6:coauthVersionMax="47" xr10:uidLastSave="{00000000-0000-0000-0000-000000000000}"/>
  <bookViews>
    <workbookView xWindow="-120" yWindow="-120" windowWidth="20730" windowHeight="11040" activeTab="3" xr2:uid="{586C1581-5E18-4849-9864-F84AED71AABF}"/>
  </bookViews>
  <sheets>
    <sheet name="Datos_Media" sheetId="1" r:id="rId1"/>
    <sheet name="Correlación de Pearson" sheetId="3" r:id="rId2"/>
    <sheet name="Hoja1" sheetId="4" r:id="rId3"/>
    <sheet name="Resumen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7" i="3" l="1"/>
  <c r="K37" i="3"/>
  <c r="L36" i="3"/>
  <c r="L35" i="3"/>
  <c r="L34" i="3"/>
  <c r="K36" i="3"/>
  <c r="K35" i="3"/>
  <c r="K34" i="3"/>
  <c r="E37" i="3"/>
  <c r="E36" i="3"/>
  <c r="E35" i="3"/>
  <c r="E34" i="3"/>
  <c r="D37" i="3"/>
  <c r="D36" i="3"/>
  <c r="D35" i="3"/>
  <c r="D34" i="3"/>
  <c r="L28" i="3"/>
  <c r="K28" i="3"/>
  <c r="L27" i="3"/>
  <c r="L26" i="3"/>
  <c r="L25" i="3"/>
  <c r="K27" i="3"/>
  <c r="K26" i="3"/>
  <c r="K25" i="3"/>
  <c r="I28" i="3"/>
  <c r="E28" i="3"/>
  <c r="D28" i="3"/>
  <c r="F20" i="3"/>
  <c r="F19" i="3"/>
  <c r="F18" i="3"/>
  <c r="F17" i="3"/>
  <c r="L20" i="3"/>
  <c r="K20" i="3"/>
  <c r="J20" i="3"/>
  <c r="I20" i="3"/>
  <c r="E20" i="3"/>
  <c r="D20" i="3"/>
  <c r="C20" i="3"/>
  <c r="B20" i="3"/>
  <c r="E27" i="3"/>
  <c r="E26" i="3"/>
  <c r="E25" i="3"/>
  <c r="L19" i="3"/>
  <c r="L18" i="3"/>
  <c r="L17" i="3"/>
  <c r="E19" i="3"/>
  <c r="E18" i="3"/>
  <c r="E17" i="3"/>
  <c r="D27" i="3"/>
  <c r="D26" i="3"/>
  <c r="D25" i="3"/>
  <c r="K19" i="3"/>
  <c r="K18" i="3"/>
  <c r="K17" i="3"/>
  <c r="D19" i="3"/>
  <c r="D18" i="3"/>
  <c r="D17" i="3"/>
  <c r="I36" i="3"/>
  <c r="I35" i="3"/>
  <c r="I34" i="3"/>
  <c r="B36" i="3"/>
  <c r="B35" i="3"/>
  <c r="B34" i="3"/>
  <c r="I27" i="3"/>
  <c r="I26" i="3"/>
  <c r="I25" i="3"/>
  <c r="B27" i="3"/>
  <c r="B26" i="3"/>
  <c r="B25" i="3"/>
  <c r="I19" i="3"/>
  <c r="I18" i="3"/>
  <c r="I17" i="3"/>
  <c r="B19" i="3"/>
  <c r="B18" i="3"/>
  <c r="B17" i="3"/>
  <c r="M12" i="3"/>
  <c r="L12" i="3"/>
  <c r="K12" i="3"/>
  <c r="J12" i="3"/>
  <c r="I12" i="3"/>
  <c r="L11" i="3"/>
  <c r="L10" i="3"/>
  <c r="L9" i="3"/>
  <c r="K11" i="3"/>
  <c r="K10" i="3"/>
  <c r="K9" i="3"/>
  <c r="J11" i="3"/>
  <c r="J10" i="3"/>
  <c r="J9" i="3"/>
  <c r="I11" i="3"/>
  <c r="I10" i="3"/>
  <c r="I9" i="3"/>
  <c r="F12" i="3"/>
  <c r="E12" i="3"/>
  <c r="D12" i="3"/>
  <c r="C12" i="3"/>
  <c r="B12" i="3"/>
  <c r="E11" i="3"/>
  <c r="E10" i="3"/>
  <c r="E9" i="3"/>
  <c r="D11" i="3"/>
  <c r="D10" i="3"/>
  <c r="D9" i="3"/>
  <c r="B11" i="3"/>
  <c r="B10" i="3"/>
  <c r="C11" i="3"/>
  <c r="C10" i="3"/>
  <c r="B9" i="3"/>
  <c r="R5" i="1"/>
  <c r="J6" i="3"/>
  <c r="I6" i="3"/>
  <c r="H6" i="3"/>
  <c r="G6" i="3"/>
  <c r="F6" i="3"/>
  <c r="E6" i="3"/>
  <c r="D6" i="3"/>
  <c r="K6" i="3"/>
  <c r="L5" i="2"/>
  <c r="J5" i="2"/>
  <c r="I5" i="2"/>
  <c r="H5" i="2"/>
  <c r="G5" i="2"/>
  <c r="F5" i="2"/>
  <c r="E5" i="2"/>
  <c r="D5" i="2"/>
  <c r="C5" i="2"/>
  <c r="Q13" i="1"/>
  <c r="O13" i="1"/>
  <c r="M13" i="1"/>
  <c r="K13" i="1"/>
  <c r="I13" i="1"/>
  <c r="G13" i="1"/>
  <c r="E13" i="1"/>
  <c r="Q11" i="1"/>
  <c r="Q10" i="1"/>
  <c r="Q9" i="1"/>
  <c r="Q8" i="1"/>
  <c r="Q7" i="1"/>
  <c r="O11" i="1"/>
  <c r="O10" i="1"/>
  <c r="O9" i="1"/>
  <c r="O8" i="1"/>
  <c r="O7" i="1"/>
  <c r="M9" i="1"/>
  <c r="K9" i="1"/>
  <c r="E9" i="1"/>
  <c r="R9" i="1"/>
  <c r="S9" i="1" s="1"/>
  <c r="P5" i="1"/>
  <c r="P8" i="1" s="1"/>
  <c r="N5" i="1"/>
  <c r="N7" i="1" s="1"/>
  <c r="L5" i="1"/>
  <c r="L9" i="1" s="1"/>
  <c r="J5" i="1"/>
  <c r="J9" i="1" s="1"/>
  <c r="H5" i="1"/>
  <c r="H8" i="1" s="1"/>
  <c r="I8" i="1" s="1"/>
  <c r="F5" i="1"/>
  <c r="F7" i="1" s="1"/>
  <c r="G7" i="1" s="1"/>
  <c r="D5" i="1"/>
  <c r="D9" i="1" s="1"/>
  <c r="C5" i="1"/>
  <c r="H9" i="1" l="1"/>
  <c r="I9" i="1" s="1"/>
  <c r="P9" i="1"/>
  <c r="F8" i="1"/>
  <c r="J7" i="1"/>
  <c r="K7" i="1" s="1"/>
  <c r="R7" i="1"/>
  <c r="S7" i="1" s="1"/>
  <c r="N8" i="1"/>
  <c r="D7" i="1"/>
  <c r="E7" i="1" s="1"/>
  <c r="E10" i="1" s="1"/>
  <c r="E11" i="1" s="1"/>
  <c r="J8" i="1"/>
  <c r="K8" i="1" s="1"/>
  <c r="R8" i="1"/>
  <c r="S8" i="1" s="1"/>
  <c r="L7" i="1"/>
  <c r="M7" i="1" s="1"/>
  <c r="M10" i="1" s="1"/>
  <c r="M11" i="1" s="1"/>
  <c r="D8" i="1"/>
  <c r="E8" i="1" s="1"/>
  <c r="F9" i="1"/>
  <c r="G9" i="1" s="1"/>
  <c r="G10" i="1" s="1"/>
  <c r="G11" i="1" s="1"/>
  <c r="L8" i="1"/>
  <c r="M8" i="1" s="1"/>
  <c r="N9" i="1"/>
  <c r="H7" i="1"/>
  <c r="I7" i="1" s="1"/>
  <c r="I10" i="1" s="1"/>
  <c r="I11" i="1" s="1"/>
  <c r="P7" i="1"/>
  <c r="S10" i="1" l="1"/>
  <c r="S11" i="1" s="1"/>
  <c r="S13" i="1" s="1"/>
  <c r="K10" i="1"/>
  <c r="K11" i="1" s="1"/>
  <c r="C9" i="3"/>
</calcChain>
</file>

<file path=xl/sharedStrings.xml><?xml version="1.0" encoding="utf-8"?>
<sst xmlns="http://schemas.openxmlformats.org/spreadsheetml/2006/main" count="157" uniqueCount="86">
  <si>
    <t>Año</t>
  </si>
  <si>
    <t>Columna1</t>
  </si>
  <si>
    <t>Socavones reportados</t>
  </si>
  <si>
    <t>Precipitación (mm)</t>
  </si>
  <si>
    <t>Densidad de población (hab/km²)</t>
  </si>
  <si>
    <t>Tráfico vehicular (vehículos/día)</t>
  </si>
  <si>
    <t>Extracción de agua (m³/año)</t>
  </si>
  <si>
    <t>Fugas de agua (reportes/año)</t>
  </si>
  <si>
    <t>Mantenimiento hidráulico (acciones/año)</t>
  </si>
  <si>
    <t>Nivel freático (m bajo tierra)</t>
  </si>
  <si>
    <t>Tipo de suelo</t>
  </si>
  <si>
    <t>Humedad del suelo (%)</t>
  </si>
  <si>
    <t>José López Portillo</t>
  </si>
  <si>
    <t>Arcilloso</t>
  </si>
  <si>
    <t>Media:</t>
  </si>
  <si>
    <t>Varianza</t>
  </si>
  <si>
    <t>Muestral:</t>
  </si>
  <si>
    <t>Desviación estándar</t>
  </si>
  <si>
    <t>Varianza muestral</t>
  </si>
  <si>
    <t>correlación de Pearson</t>
  </si>
  <si>
    <t>Media</t>
  </si>
  <si>
    <t>X2</t>
  </si>
  <si>
    <t>X3</t>
  </si>
  <si>
    <t>X4</t>
  </si>
  <si>
    <t>X5</t>
  </si>
  <si>
    <t>X6</t>
  </si>
  <si>
    <t>X7</t>
  </si>
  <si>
    <t>X8</t>
  </si>
  <si>
    <t>X1</t>
  </si>
  <si>
    <t>Y</t>
  </si>
  <si>
    <t>X1-Media</t>
  </si>
  <si>
    <t>Y-Media</t>
  </si>
  <si>
    <t>(x1-media)(y-Media)</t>
  </si>
  <si>
    <r>
      <t>(X1-media)</t>
    </r>
    <r>
      <rPr>
        <sz val="11"/>
        <color theme="1"/>
        <rFont val="Calibri"/>
        <family val="2"/>
      </rPr>
      <t>²</t>
    </r>
  </si>
  <si>
    <r>
      <t>y-Media</t>
    </r>
    <r>
      <rPr>
        <sz val="11"/>
        <color theme="1"/>
        <rFont val="Calibri"/>
        <family val="2"/>
      </rPr>
      <t>²</t>
    </r>
  </si>
  <si>
    <t>Suma</t>
  </si>
  <si>
    <t>X2-media</t>
  </si>
  <si>
    <t>y-media</t>
  </si>
  <si>
    <t>(x2-media)(y-Media)</t>
  </si>
  <si>
    <r>
      <t>(X2-media)</t>
    </r>
    <r>
      <rPr>
        <sz val="11"/>
        <color theme="1"/>
        <rFont val="Calibri"/>
        <family val="2"/>
      </rPr>
      <t>²</t>
    </r>
  </si>
  <si>
    <t>X3-Media</t>
  </si>
  <si>
    <t>(x3-media)(y-Media)</t>
  </si>
  <si>
    <r>
      <t>(X3-media)</t>
    </r>
    <r>
      <rPr>
        <sz val="11"/>
        <color theme="1"/>
        <rFont val="Calibri"/>
        <family val="2"/>
      </rPr>
      <t>²</t>
    </r>
  </si>
  <si>
    <t>X4-media</t>
  </si>
  <si>
    <t>(42-media)(y-Media)</t>
  </si>
  <si>
    <r>
      <t>(X4-media)</t>
    </r>
    <r>
      <rPr>
        <sz val="11"/>
        <color theme="1"/>
        <rFont val="Calibri"/>
        <family val="2"/>
      </rPr>
      <t>²</t>
    </r>
  </si>
  <si>
    <t>X5-Media</t>
  </si>
  <si>
    <t>(x5-media)(y-Media)</t>
  </si>
  <si>
    <r>
      <t>(X5-media)</t>
    </r>
    <r>
      <rPr>
        <sz val="11"/>
        <color theme="1"/>
        <rFont val="Calibri"/>
        <family val="2"/>
      </rPr>
      <t>²</t>
    </r>
  </si>
  <si>
    <t>X6-media</t>
  </si>
  <si>
    <t>(x6-media)(y-Media)</t>
  </si>
  <si>
    <r>
      <t>(X6-media)</t>
    </r>
    <r>
      <rPr>
        <sz val="11"/>
        <color theme="1"/>
        <rFont val="Calibri"/>
        <family val="2"/>
      </rPr>
      <t>²</t>
    </r>
  </si>
  <si>
    <t>X7-Media</t>
  </si>
  <si>
    <t>(x7-media)(y-Media)</t>
  </si>
  <si>
    <r>
      <t>(X7-media)</t>
    </r>
    <r>
      <rPr>
        <sz val="11"/>
        <color theme="1"/>
        <rFont val="Calibri"/>
        <family val="2"/>
      </rPr>
      <t>²</t>
    </r>
  </si>
  <si>
    <t>X8-media</t>
  </si>
  <si>
    <t>(x8-media)(y-Media)</t>
  </si>
  <si>
    <r>
      <t>(X8-media)</t>
    </r>
    <r>
      <rPr>
        <sz val="11"/>
        <color theme="1"/>
        <rFont val="Calibri"/>
        <family val="2"/>
      </rPr>
      <t>²</t>
    </r>
  </si>
  <si>
    <t>Correlación densidad de población</t>
  </si>
  <si>
    <t>Correlación precipitación</t>
  </si>
  <si>
    <t>Correlación tráfico vehicular</t>
  </si>
  <si>
    <t>Correlación extracción de agua</t>
  </si>
  <si>
    <t>Correlación fugas de agua</t>
  </si>
  <si>
    <t>Correlación mantenimiento hidráulico</t>
  </si>
  <si>
    <t>Correlación nivel freático</t>
  </si>
  <si>
    <t>Correlación humedad del suelo</t>
  </si>
  <si>
    <t>Correlación con socavones</t>
  </si>
  <si>
    <t>Interpretación</t>
  </si>
  <si>
    <t>Variable</t>
  </si>
  <si>
    <t>Nivel freático</t>
  </si>
  <si>
    <t>Extracción de agua</t>
  </si>
  <si>
    <t>Relación lineal negativa fuerte, entre más profundo el nivel , más socavones.</t>
  </si>
  <si>
    <t>Relación lineal positiva fuerte, más fugas, más socavones.</t>
  </si>
  <si>
    <t>Relación lineal positiva fuerte, suelos arcillosos con alta humedad, mayor riesgo.</t>
  </si>
  <si>
    <t>Fuerte, pero es una relación indirecta.</t>
  </si>
  <si>
    <t>Relación lineal negativa fuerte, años con menor tráfico coincide con más socavones.</t>
  </si>
  <si>
    <t>Relación muy débil.</t>
  </si>
  <si>
    <t>Relación débil.</t>
  </si>
  <si>
    <t>Relación media, menos mantenimiento más socavones.</t>
  </si>
  <si>
    <t>Fugas de agua</t>
  </si>
  <si>
    <t>Humedad del suelo</t>
  </si>
  <si>
    <t>Densidad de población</t>
  </si>
  <si>
    <t>Tráfico vehicular</t>
  </si>
  <si>
    <t>Precipitación pluvial</t>
  </si>
  <si>
    <t>Mantenimiento hidraúlico</t>
  </si>
  <si>
    <t>Colonia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</si>
</sst>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_ ;\-#,##0.00\ "/>
  </numFmts>
  <fonts count="9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0"/>
        <bgColor theme="8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0" xfId="0" applyFont="1"/>
    <xf numFmtId="0" fontId="2" fillId="0" borderId="2" xfId="0" applyFont="1" applyBorder="1"/>
    <xf numFmtId="0" fontId="2" fillId="0" borderId="3" xfId="0" applyFont="1" applyBorder="1"/>
    <xf numFmtId="0" fontId="2" fillId="0" borderId="0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3" fillId="3" borderId="2" xfId="0" applyFont="1" applyFill="1" applyBorder="1"/>
    <xf numFmtId="0" fontId="3" fillId="3" borderId="3" xfId="0" applyFont="1" applyFill="1" applyBorder="1"/>
    <xf numFmtId="0" fontId="2" fillId="4" borderId="0" xfId="0" applyFont="1" applyFill="1" applyBorder="1"/>
    <xf numFmtId="0" fontId="0" fillId="4" borderId="0" xfId="0" applyFill="1"/>
    <xf numFmtId="3" fontId="0" fillId="0" borderId="0" xfId="0" applyNumberFormat="1"/>
    <xf numFmtId="0" fontId="0" fillId="5" borderId="0" xfId="0" applyFill="1"/>
    <xf numFmtId="0" fontId="0" fillId="6" borderId="0" xfId="0" applyFill="1"/>
    <xf numFmtId="2" fontId="0" fillId="0" borderId="0" xfId="0" applyNumberFormat="1"/>
    <xf numFmtId="2" fontId="0" fillId="5" borderId="0" xfId="0" applyNumberFormat="1" applyFill="1"/>
    <xf numFmtId="2" fontId="0" fillId="6" borderId="0" xfId="0" applyNumberFormat="1" applyFill="1"/>
    <xf numFmtId="0" fontId="2" fillId="4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 wrapText="1"/>
    </xf>
    <xf numFmtId="0" fontId="2" fillId="5" borderId="0" xfId="0" applyFont="1" applyFill="1" applyBorder="1"/>
    <xf numFmtId="0" fontId="2" fillId="7" borderId="0" xfId="0" applyFont="1" applyFill="1" applyBorder="1" applyAlignment="1">
      <alignment horizontal="center" wrapText="1"/>
    </xf>
    <xf numFmtId="0" fontId="0" fillId="7" borderId="0" xfId="0" applyFill="1"/>
    <xf numFmtId="0" fontId="2" fillId="7" borderId="0" xfId="0" applyFont="1" applyFill="1"/>
    <xf numFmtId="0" fontId="2" fillId="7" borderId="0" xfId="0" applyFont="1" applyFill="1" applyBorder="1"/>
    <xf numFmtId="0" fontId="0" fillId="0" borderId="0" xfId="0" applyAlignment="1">
      <alignment horizontal="center" wrapText="1"/>
    </xf>
    <xf numFmtId="0" fontId="0" fillId="6" borderId="0" xfId="0" applyFill="1" applyAlignment="1">
      <alignment horizontal="center" wrapText="1"/>
    </xf>
    <xf numFmtId="0" fontId="0" fillId="8" borderId="0" xfId="0" applyFill="1"/>
    <xf numFmtId="0" fontId="0" fillId="0" borderId="0" xfId="0" applyAlignment="1">
      <alignment horizontal="center" vertical="center"/>
    </xf>
    <xf numFmtId="0" fontId="0" fillId="0" borderId="0" xfId="0" applyNumberFormat="1"/>
    <xf numFmtId="0" fontId="0" fillId="0" borderId="0" xfId="0" applyAlignment="1">
      <alignment horizontal="right"/>
    </xf>
    <xf numFmtId="2" fontId="0" fillId="4" borderId="0" xfId="0" applyNumberFormat="1" applyFill="1"/>
    <xf numFmtId="2" fontId="2" fillId="3" borderId="2" xfId="0" applyNumberFormat="1" applyFont="1" applyFill="1" applyBorder="1"/>
    <xf numFmtId="2" fontId="2" fillId="0" borderId="2" xfId="0" applyNumberFormat="1" applyFont="1" applyBorder="1"/>
    <xf numFmtId="2" fontId="3" fillId="3" borderId="2" xfId="0" applyNumberFormat="1" applyFont="1" applyFill="1" applyBorder="1"/>
    <xf numFmtId="43" fontId="2" fillId="0" borderId="0" xfId="0" applyNumberFormat="1" applyFont="1"/>
    <xf numFmtId="43" fontId="0" fillId="4" borderId="0" xfId="0" applyNumberFormat="1" applyFill="1"/>
    <xf numFmtId="43" fontId="0" fillId="0" borderId="0" xfId="0" applyNumberFormat="1"/>
    <xf numFmtId="164" fontId="0" fillId="0" borderId="0" xfId="0" applyNumberFormat="1"/>
    <xf numFmtId="43" fontId="0" fillId="0" borderId="0" xfId="0" applyNumberFormat="1" applyAlignment="1">
      <alignment horizontal="center" wrapText="1"/>
    </xf>
    <xf numFmtId="4" fontId="0" fillId="0" borderId="0" xfId="0" applyNumberFormat="1"/>
    <xf numFmtId="0" fontId="2" fillId="6" borderId="0" xfId="0" applyFont="1" applyFill="1" applyAlignment="1">
      <alignment horizontal="center" wrapText="1"/>
    </xf>
    <xf numFmtId="0" fontId="5" fillId="6" borderId="0" xfId="0" applyFont="1" applyFill="1" applyAlignment="1">
      <alignment horizontal="center" wrapText="1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3" borderId="2" xfId="0" applyFont="1" applyFill="1" applyBorder="1" applyAlignment="1">
      <alignment horizontal="center"/>
    </xf>
    <xf numFmtId="2" fontId="2" fillId="3" borderId="2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0" fillId="8" borderId="0" xfId="0" applyFill="1" applyBorder="1"/>
    <xf numFmtId="0" fontId="5" fillId="8" borderId="1" xfId="0" applyFont="1" applyFill="1" applyBorder="1" applyAlignment="1">
      <alignment horizontal="center"/>
    </xf>
    <xf numFmtId="2" fontId="5" fillId="8" borderId="1" xfId="0" applyNumberFormat="1" applyFont="1" applyFill="1" applyBorder="1" applyAlignment="1">
      <alignment horizontal="center"/>
    </xf>
    <xf numFmtId="0" fontId="5" fillId="8" borderId="5" xfId="0" applyFont="1" applyFill="1" applyBorder="1" applyAlignment="1">
      <alignment horizontal="center"/>
    </xf>
    <xf numFmtId="0" fontId="5" fillId="8" borderId="4" xfId="0" applyFont="1" applyFill="1" applyBorder="1" applyAlignment="1">
      <alignment wrapText="1"/>
    </xf>
    <xf numFmtId="0" fontId="5" fillId="8" borderId="4" xfId="0" applyFont="1" applyFill="1" applyBorder="1" applyAlignment="1">
      <alignment horizontal="left" wrapText="1"/>
    </xf>
    <xf numFmtId="0" fontId="5" fillId="8" borderId="4" xfId="0" applyFont="1" applyFill="1" applyBorder="1"/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 wrapText="1"/>
    </xf>
    <xf numFmtId="0" fontId="6" fillId="4" borderId="8" xfId="0" applyFont="1" applyFill="1" applyBorder="1" applyAlignment="1">
      <alignment horizontal="center"/>
    </xf>
    <xf numFmtId="0" fontId="5" fillId="8" borderId="10" xfId="0" applyFont="1" applyFill="1" applyBorder="1" applyAlignment="1">
      <alignment horizontal="center"/>
    </xf>
    <xf numFmtId="0" fontId="5" fillId="8" borderId="11" xfId="0" applyFont="1" applyFill="1" applyBorder="1" applyAlignment="1">
      <alignment wrapText="1"/>
    </xf>
    <xf numFmtId="0" fontId="5" fillId="8" borderId="5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wrapText="1"/>
    </xf>
    <xf numFmtId="43" fontId="5" fillId="0" borderId="1" xfId="0" applyNumberFormat="1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2" fontId="5" fillId="3" borderId="1" xfId="0" applyNumberFormat="1" applyFont="1" applyFill="1" applyBorder="1" applyAlignment="1">
      <alignment horizontal="center" wrapText="1"/>
    </xf>
    <xf numFmtId="2" fontId="5" fillId="0" borderId="1" xfId="0" applyNumberFormat="1" applyFont="1" applyBorder="1" applyAlignment="1">
      <alignment horizontal="center" wrapText="1"/>
    </xf>
    <xf numFmtId="0" fontId="8" fillId="3" borderId="1" xfId="0" applyFont="1" applyFill="1" applyBorder="1" applyAlignment="1">
      <alignment horizontal="center" wrapText="1"/>
    </xf>
    <xf numFmtId="2" fontId="8" fillId="3" borderId="1" xfId="0" applyNumberFormat="1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vertical="top"/>
    </xf>
    <xf numFmtId="0" fontId="5" fillId="8" borderId="9" xfId="0" applyFont="1" applyFill="1" applyBorder="1" applyAlignment="1">
      <alignment horizontal="center" wrapText="1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44976F-C65E-4D73-8C80-7929FF0AA0D5}" name="Tabla1" displayName="Tabla1" ref="A9:C17" totalsRowShown="0" headerRowBorderDxfId="5" tableBorderDxfId="4" totalsRowBorderDxfId="3">
  <autoFilter ref="A9:C17" xr:uid="{4144976F-C65E-4D73-8C80-7929FF0AA0D5}"/>
  <tableColumns count="3">
    <tableColumn id="1" xr3:uid="{A882F0CD-F18A-4C4A-A8B5-9479D91BB8F3}" name="Variable" dataDxfId="2"/>
    <tableColumn id="2" xr3:uid="{7A25388C-3FDE-4FD5-AA87-25EAFA3A5D39}" name="Correlación con socavones" dataDxfId="1"/>
    <tableColumn id="3" xr3:uid="{2E9FF89D-FC78-44C7-8F67-43064DD91AAD}" name="Interpretación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8E6D1-E809-4324-873F-1C738144A7D0}">
  <dimension ref="A1:S15"/>
  <sheetViews>
    <sheetView workbookViewId="0"/>
  </sheetViews>
  <sheetFormatPr baseColWidth="10" defaultRowHeight="15" x14ac:dyDescent="0.25"/>
  <cols>
    <col min="1" max="1" width="6.140625" customWidth="1"/>
    <col min="2" max="2" width="9.42578125" customWidth="1"/>
    <col min="7" max="7" width="8.85546875" customWidth="1"/>
    <col min="8" max="8" width="9" customWidth="1"/>
    <col min="9" max="9" width="12.42578125" customWidth="1"/>
    <col min="11" max="11" width="12.7109375" customWidth="1"/>
    <col min="12" max="12" width="12.85546875" customWidth="1"/>
    <col min="13" max="13" width="8.85546875" customWidth="1"/>
    <col min="14" max="14" width="13.85546875" customWidth="1"/>
    <col min="15" max="15" width="10" customWidth="1"/>
    <col min="18" max="18" width="8.42578125" customWidth="1"/>
  </cols>
  <sheetData>
    <row r="1" spans="1:19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/>
      <c r="H1" s="1" t="s">
        <v>5</v>
      </c>
      <c r="I1" s="1"/>
      <c r="J1" s="1" t="s">
        <v>6</v>
      </c>
      <c r="K1" s="1"/>
      <c r="L1" s="1" t="s">
        <v>7</v>
      </c>
      <c r="M1" s="1"/>
      <c r="N1" s="1" t="s">
        <v>8</v>
      </c>
      <c r="O1" s="1"/>
      <c r="P1" s="1" t="s">
        <v>9</v>
      </c>
      <c r="Q1" s="1" t="s">
        <v>10</v>
      </c>
      <c r="R1" s="1" t="s">
        <v>11</v>
      </c>
    </row>
    <row r="2" spans="1:19" x14ac:dyDescent="0.25">
      <c r="A2" s="2">
        <v>2022</v>
      </c>
      <c r="B2" s="2" t="s">
        <v>12</v>
      </c>
      <c r="C2" s="2">
        <v>12</v>
      </c>
      <c r="D2" s="2">
        <v>764</v>
      </c>
      <c r="E2" s="2"/>
      <c r="F2" s="2">
        <v>16600</v>
      </c>
      <c r="G2" s="2"/>
      <c r="H2" s="2">
        <v>24118</v>
      </c>
      <c r="I2" s="2"/>
      <c r="J2" s="2">
        <v>618986</v>
      </c>
      <c r="K2" s="2"/>
      <c r="L2" s="6">
        <v>247</v>
      </c>
      <c r="M2" s="6"/>
      <c r="N2" s="6">
        <v>16</v>
      </c>
      <c r="O2" s="6"/>
      <c r="P2" s="6">
        <v>47.015532967254501</v>
      </c>
      <c r="Q2" s="6" t="s">
        <v>13</v>
      </c>
      <c r="R2" s="7">
        <v>50</v>
      </c>
    </row>
    <row r="3" spans="1:19" x14ac:dyDescent="0.25">
      <c r="A3" s="2">
        <v>2023</v>
      </c>
      <c r="B3" s="2" t="s">
        <v>12</v>
      </c>
      <c r="C3" s="2">
        <v>5</v>
      </c>
      <c r="D3" s="2">
        <v>698</v>
      </c>
      <c r="E3" s="2"/>
      <c r="F3" s="2">
        <v>16733.333333333328</v>
      </c>
      <c r="G3" s="2"/>
      <c r="H3" s="2">
        <v>34336</v>
      </c>
      <c r="I3" s="2"/>
      <c r="J3" s="2">
        <v>633886</v>
      </c>
      <c r="K3" s="2"/>
      <c r="L3" s="3">
        <v>151</v>
      </c>
      <c r="M3" s="3"/>
      <c r="N3" s="3">
        <v>17</v>
      </c>
      <c r="O3" s="3"/>
      <c r="P3" s="3">
        <v>51.272532181631028</v>
      </c>
      <c r="Q3" s="3" t="s">
        <v>13</v>
      </c>
      <c r="R3" s="4">
        <v>46</v>
      </c>
    </row>
    <row r="4" spans="1:19" x14ac:dyDescent="0.25">
      <c r="A4" s="2">
        <v>2024</v>
      </c>
      <c r="B4" s="2" t="s">
        <v>12</v>
      </c>
      <c r="C4" s="2">
        <v>1</v>
      </c>
      <c r="D4" s="2">
        <v>803</v>
      </c>
      <c r="E4" s="2"/>
      <c r="F4" s="2">
        <v>16866.666666666672</v>
      </c>
      <c r="G4" s="2"/>
      <c r="H4" s="2">
        <v>32962</v>
      </c>
      <c r="I4" s="2"/>
      <c r="J4" s="2">
        <v>622931</v>
      </c>
      <c r="K4" s="2"/>
      <c r="L4" s="8">
        <v>138</v>
      </c>
      <c r="M4" s="8"/>
      <c r="N4" s="8">
        <v>5</v>
      </c>
      <c r="O4" s="8"/>
      <c r="P4" s="8">
        <v>51.798645506753651</v>
      </c>
      <c r="Q4" s="8" t="s">
        <v>13</v>
      </c>
      <c r="R4" s="9">
        <v>39</v>
      </c>
    </row>
    <row r="5" spans="1:19" x14ac:dyDescent="0.25">
      <c r="B5" s="10" t="s">
        <v>14</v>
      </c>
      <c r="C5" s="11">
        <f t="shared" ref="C5:P5" si="0">AVERAGE(C2:C4)</f>
        <v>6</v>
      </c>
      <c r="D5" s="11">
        <f t="shared" si="0"/>
        <v>755</v>
      </c>
      <c r="E5" s="11"/>
      <c r="F5" s="11">
        <f t="shared" si="0"/>
        <v>16733.333333333332</v>
      </c>
      <c r="G5" s="11"/>
      <c r="H5" s="11">
        <f t="shared" si="0"/>
        <v>30472</v>
      </c>
      <c r="I5" s="11"/>
      <c r="J5" s="11">
        <f t="shared" si="0"/>
        <v>625267.66666666663</v>
      </c>
      <c r="K5" s="11"/>
      <c r="L5" s="11">
        <f t="shared" si="0"/>
        <v>178.66666666666666</v>
      </c>
      <c r="M5" s="11"/>
      <c r="N5" s="11">
        <f t="shared" si="0"/>
        <v>12.666666666666666</v>
      </c>
      <c r="O5" s="11"/>
      <c r="P5" s="11">
        <f t="shared" si="0"/>
        <v>50.028903551879722</v>
      </c>
      <c r="Q5" s="11"/>
      <c r="R5" s="11">
        <f>AVERAGE(R2:R4)</f>
        <v>45</v>
      </c>
    </row>
    <row r="6" spans="1:19" x14ac:dyDescent="0.25">
      <c r="B6" s="5"/>
    </row>
    <row r="7" spans="1:19" x14ac:dyDescent="0.25">
      <c r="B7" s="5"/>
      <c r="C7" s="13" t="s">
        <v>15</v>
      </c>
      <c r="D7">
        <f>D2-D5</f>
        <v>9</v>
      </c>
      <c r="E7">
        <f>D7^2</f>
        <v>81</v>
      </c>
      <c r="F7" s="15">
        <f>F2-F5</f>
        <v>-133.33333333333212</v>
      </c>
      <c r="G7" s="15">
        <f>F7^2</f>
        <v>17777.777777777454</v>
      </c>
      <c r="H7">
        <f>H2-H5</f>
        <v>-6354</v>
      </c>
      <c r="I7" s="15">
        <f>H7^2</f>
        <v>40373316</v>
      </c>
      <c r="J7" s="15">
        <f>J2-J5</f>
        <v>-6281.6666666666279</v>
      </c>
      <c r="K7" s="15">
        <f>J7^2</f>
        <v>39459336.11111062</v>
      </c>
      <c r="L7" s="15">
        <f>L2-L5</f>
        <v>68.333333333333343</v>
      </c>
      <c r="M7" s="15">
        <f>L7^2</f>
        <v>4669.4444444444462</v>
      </c>
      <c r="N7" s="15">
        <f>N2-N5</f>
        <v>3.3333333333333339</v>
      </c>
      <c r="O7" s="15">
        <f>N7^2</f>
        <v>11.111111111111114</v>
      </c>
      <c r="P7" s="15">
        <f>P2-P5</f>
        <v>-3.0133705846252212</v>
      </c>
      <c r="Q7" s="15">
        <f>P7^2</f>
        <v>9.080402280284547</v>
      </c>
      <c r="R7">
        <f>R2-R5</f>
        <v>5</v>
      </c>
      <c r="S7">
        <f>R7^2</f>
        <v>25</v>
      </c>
    </row>
    <row r="8" spans="1:19" x14ac:dyDescent="0.25">
      <c r="C8" s="13" t="s">
        <v>16</v>
      </c>
      <c r="D8">
        <f>D3-D5</f>
        <v>-57</v>
      </c>
      <c r="E8">
        <f>D8^2</f>
        <v>3249</v>
      </c>
      <c r="F8">
        <f>F3-F5</f>
        <v>0</v>
      </c>
      <c r="G8" s="15">
        <v>0</v>
      </c>
      <c r="H8">
        <f>H3-H5</f>
        <v>3864</v>
      </c>
      <c r="I8" s="15">
        <f>H8^2</f>
        <v>14930496</v>
      </c>
      <c r="J8" s="15">
        <f>J3-J5</f>
        <v>8618.3333333333721</v>
      </c>
      <c r="K8" s="15">
        <f>J8^2</f>
        <v>74275669.444445118</v>
      </c>
      <c r="L8" s="15">
        <f>L3-L5</f>
        <v>-27.666666666666657</v>
      </c>
      <c r="M8" s="15">
        <f>L8^2</f>
        <v>765.44444444444389</v>
      </c>
      <c r="N8" s="15">
        <f>N3-N5</f>
        <v>4.3333333333333339</v>
      </c>
      <c r="O8" s="15">
        <f>N8^2</f>
        <v>18.777777777777782</v>
      </c>
      <c r="P8" s="15">
        <f>P3-P5</f>
        <v>1.2436286297513064</v>
      </c>
      <c r="Q8" s="15">
        <f>P8^2</f>
        <v>1.5466121687371119</v>
      </c>
      <c r="R8">
        <f>R3-R5</f>
        <v>1</v>
      </c>
      <c r="S8">
        <f>R8^2</f>
        <v>1</v>
      </c>
    </row>
    <row r="9" spans="1:19" x14ac:dyDescent="0.25">
      <c r="D9">
        <f>D4-D5</f>
        <v>48</v>
      </c>
      <c r="E9">
        <f>D9^2</f>
        <v>2304</v>
      </c>
      <c r="F9" s="15">
        <f>F4-F5</f>
        <v>133.3333333333394</v>
      </c>
      <c r="G9" s="15">
        <f>F9^2</f>
        <v>17777.777777779396</v>
      </c>
      <c r="H9">
        <f>H4-H5</f>
        <v>2490</v>
      </c>
      <c r="I9" s="15">
        <f>H9^2</f>
        <v>6200100</v>
      </c>
      <c r="J9" s="15">
        <f>J4-J5</f>
        <v>-2336.6666666666279</v>
      </c>
      <c r="K9" s="15">
        <f>J9^2</f>
        <v>5460011.1111109294</v>
      </c>
      <c r="L9" s="15">
        <f>L4-L5</f>
        <v>-40.666666666666657</v>
      </c>
      <c r="M9" s="15">
        <f>L9^2</f>
        <v>1653.7777777777769</v>
      </c>
      <c r="N9" s="15">
        <f>N4-N5</f>
        <v>-7.6666666666666661</v>
      </c>
      <c r="O9" s="15">
        <f>N9^2</f>
        <v>58.777777777777771</v>
      </c>
      <c r="P9" s="15">
        <f>P4-P5</f>
        <v>1.769741954873929</v>
      </c>
      <c r="Q9" s="15">
        <f>P9^2</f>
        <v>3.1319865868409957</v>
      </c>
      <c r="R9">
        <f>R4-R5</f>
        <v>-6</v>
      </c>
      <c r="S9">
        <f>R9^2</f>
        <v>36</v>
      </c>
    </row>
    <row r="10" spans="1:19" x14ac:dyDescent="0.25">
      <c r="E10">
        <f>E7+E8+E9</f>
        <v>5634</v>
      </c>
      <c r="G10" s="15">
        <f>G7+G8+G9</f>
        <v>35555.55555555685</v>
      </c>
      <c r="I10" s="15">
        <f>I7+I8+I9</f>
        <v>61503912</v>
      </c>
      <c r="K10" s="15">
        <f>K7+K8+K9</f>
        <v>119195016.66666666</v>
      </c>
      <c r="M10" s="15">
        <f>M7+M8+M9</f>
        <v>7088.6666666666679</v>
      </c>
      <c r="O10" s="15">
        <f>O7+O8+O9</f>
        <v>88.666666666666671</v>
      </c>
      <c r="Q10" s="15">
        <f>Q7+Q8+Q9</f>
        <v>13.759001035862653</v>
      </c>
      <c r="S10">
        <f>S7+S8+S9</f>
        <v>62</v>
      </c>
    </row>
    <row r="11" spans="1:19" x14ac:dyDescent="0.25">
      <c r="E11" s="13">
        <f>E10/2</f>
        <v>2817</v>
      </c>
      <c r="F11" s="13"/>
      <c r="G11" s="16">
        <f>G10/2</f>
        <v>17777.777777778425</v>
      </c>
      <c r="H11" s="13"/>
      <c r="I11" s="16">
        <f>I10/2</f>
        <v>30751956</v>
      </c>
      <c r="J11" s="13"/>
      <c r="K11" s="16">
        <f>K10/2</f>
        <v>59597508.333333328</v>
      </c>
      <c r="L11" s="13"/>
      <c r="M11" s="16">
        <f>M10/2</f>
        <v>3544.3333333333339</v>
      </c>
      <c r="N11" s="13"/>
      <c r="O11" s="16">
        <f>O10/2</f>
        <v>44.333333333333336</v>
      </c>
      <c r="P11" s="13"/>
      <c r="Q11" s="16">
        <f>Q10/2</f>
        <v>6.8795005179313264</v>
      </c>
      <c r="R11" s="13"/>
      <c r="S11" s="13">
        <f>S10/2</f>
        <v>31</v>
      </c>
    </row>
    <row r="12" spans="1:19" x14ac:dyDescent="0.25">
      <c r="I12" s="12"/>
      <c r="K12" s="15"/>
    </row>
    <row r="13" spans="1:19" ht="30" x14ac:dyDescent="0.25">
      <c r="C13" s="26" t="s">
        <v>17</v>
      </c>
      <c r="D13" s="14"/>
      <c r="E13" s="17">
        <f>SQRT(E11)</f>
        <v>53.075418038862395</v>
      </c>
      <c r="F13" s="17"/>
      <c r="G13" s="17">
        <f>SQRT(G11)</f>
        <v>133.33333333333576</v>
      </c>
      <c r="H13" s="17"/>
      <c r="I13" s="17">
        <f>SQRT(I11)</f>
        <v>5545.4446169806797</v>
      </c>
      <c r="J13" s="17"/>
      <c r="K13" s="17">
        <f>SQRT(K11)</f>
        <v>7719.9422493522143</v>
      </c>
      <c r="L13" s="17"/>
      <c r="M13" s="17">
        <f>SQRT(M11)</f>
        <v>59.53430383680768</v>
      </c>
      <c r="N13" s="17"/>
      <c r="O13" s="17">
        <f>SQRT(O11)</f>
        <v>6.6583281184793934</v>
      </c>
      <c r="P13" s="17"/>
      <c r="Q13" s="17">
        <f>SQRT(Q11)</f>
        <v>2.6228801951159202</v>
      </c>
      <c r="R13" s="17"/>
      <c r="S13" s="17">
        <f>SQRT(S11)</f>
        <v>5.5677643628300215</v>
      </c>
    </row>
    <row r="15" spans="1:19" ht="30" x14ac:dyDescent="0.25">
      <c r="C15" s="25" t="s">
        <v>19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C989A-AEFA-4D02-9887-CD6F03A6DFE2}">
  <dimension ref="A1:Q39"/>
  <sheetViews>
    <sheetView topLeftCell="A37" workbookViewId="0">
      <selection activeCell="A2" sqref="A2:K5"/>
    </sheetView>
  </sheetViews>
  <sheetFormatPr baseColWidth="10" defaultRowHeight="15" x14ac:dyDescent="0.25"/>
  <cols>
    <col min="1" max="1" width="13" customWidth="1"/>
    <col min="3" max="3" width="10.28515625" customWidth="1"/>
    <col min="5" max="5" width="16.7109375" bestFit="1" customWidth="1"/>
    <col min="6" max="6" width="10.42578125" customWidth="1"/>
    <col min="7" max="7" width="11.85546875" customWidth="1"/>
    <col min="8" max="8" width="10.140625" customWidth="1"/>
    <col min="9" max="9" width="10.28515625" customWidth="1"/>
    <col min="10" max="10" width="11" customWidth="1"/>
    <col min="11" max="11" width="10.5703125" customWidth="1"/>
    <col min="12" max="12" width="16.7109375" bestFit="1" customWidth="1"/>
  </cols>
  <sheetData>
    <row r="1" spans="1:17" x14ac:dyDescent="0.25">
      <c r="C1" s="28" t="s">
        <v>29</v>
      </c>
      <c r="D1" s="28" t="s">
        <v>28</v>
      </c>
      <c r="E1" s="28" t="s">
        <v>21</v>
      </c>
      <c r="F1" s="28" t="s">
        <v>22</v>
      </c>
      <c r="G1" s="28" t="s">
        <v>23</v>
      </c>
      <c r="H1" s="28" t="s">
        <v>24</v>
      </c>
      <c r="I1" s="28" t="s">
        <v>25</v>
      </c>
      <c r="J1" s="28" t="s">
        <v>26</v>
      </c>
      <c r="K1" s="28" t="s">
        <v>27</v>
      </c>
    </row>
    <row r="2" spans="1:17" ht="63.7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11</v>
      </c>
    </row>
    <row r="3" spans="1:17" x14ac:dyDescent="0.25">
      <c r="A3" s="2">
        <v>2022</v>
      </c>
      <c r="B3" s="2" t="s">
        <v>12</v>
      </c>
      <c r="C3" s="2">
        <v>12</v>
      </c>
      <c r="D3" s="2">
        <v>764</v>
      </c>
      <c r="E3" s="35">
        <v>16600</v>
      </c>
      <c r="F3" s="35">
        <v>24118</v>
      </c>
      <c r="G3" s="35">
        <v>618986</v>
      </c>
      <c r="H3" s="6">
        <v>247</v>
      </c>
      <c r="I3" s="6">
        <v>16</v>
      </c>
      <c r="J3" s="32">
        <v>47.015532967254501</v>
      </c>
      <c r="K3" s="7">
        <v>50</v>
      </c>
    </row>
    <row r="4" spans="1:17" x14ac:dyDescent="0.25">
      <c r="A4" s="2">
        <v>2023</v>
      </c>
      <c r="B4" s="2" t="s">
        <v>12</v>
      </c>
      <c r="C4" s="2">
        <v>5</v>
      </c>
      <c r="D4" s="2">
        <v>698</v>
      </c>
      <c r="E4" s="35">
        <v>16733.333333333328</v>
      </c>
      <c r="F4" s="35">
        <v>34336</v>
      </c>
      <c r="G4" s="35">
        <v>633886</v>
      </c>
      <c r="H4" s="3">
        <v>151</v>
      </c>
      <c r="I4" s="3">
        <v>17</v>
      </c>
      <c r="J4" s="33">
        <v>51.272532181631028</v>
      </c>
      <c r="K4" s="4">
        <v>46</v>
      </c>
    </row>
    <row r="5" spans="1:17" x14ac:dyDescent="0.25">
      <c r="A5" s="2">
        <v>2024</v>
      </c>
      <c r="B5" s="2" t="s">
        <v>12</v>
      </c>
      <c r="C5" s="2">
        <v>1</v>
      </c>
      <c r="D5" s="2">
        <v>803</v>
      </c>
      <c r="E5" s="35">
        <v>16866.666666666672</v>
      </c>
      <c r="F5" s="35">
        <v>32962</v>
      </c>
      <c r="G5" s="35">
        <v>622931</v>
      </c>
      <c r="H5" s="8">
        <v>138</v>
      </c>
      <c r="I5" s="8">
        <v>5</v>
      </c>
      <c r="J5" s="34">
        <v>51.798645506753651</v>
      </c>
      <c r="K5" s="9">
        <v>39</v>
      </c>
    </row>
    <row r="6" spans="1:17" x14ac:dyDescent="0.25">
      <c r="B6" s="10" t="s">
        <v>20</v>
      </c>
      <c r="C6" s="11">
        <v>6</v>
      </c>
      <c r="D6" s="11">
        <f t="shared" ref="D6:K6" si="0">AVERAGE(D3:D5)</f>
        <v>755</v>
      </c>
      <c r="E6" s="36">
        <f t="shared" si="0"/>
        <v>16733.333333333332</v>
      </c>
      <c r="F6" s="36">
        <f t="shared" si="0"/>
        <v>30472</v>
      </c>
      <c r="G6" s="36">
        <f t="shared" si="0"/>
        <v>625267.66666666663</v>
      </c>
      <c r="H6" s="31">
        <f t="shared" si="0"/>
        <v>178.66666666666666</v>
      </c>
      <c r="I6" s="31">
        <f t="shared" si="0"/>
        <v>12.666666666666666</v>
      </c>
      <c r="J6" s="31">
        <f t="shared" si="0"/>
        <v>50.028903551879722</v>
      </c>
      <c r="K6" s="11">
        <f t="shared" si="0"/>
        <v>45</v>
      </c>
      <c r="L6" s="27"/>
      <c r="M6" s="27"/>
      <c r="N6" s="27"/>
      <c r="O6" s="27"/>
      <c r="P6" s="27"/>
      <c r="Q6" s="27"/>
    </row>
    <row r="8" spans="1:17" ht="45" x14ac:dyDescent="0.25">
      <c r="B8" s="2" t="s">
        <v>30</v>
      </c>
      <c r="C8" t="s">
        <v>31</v>
      </c>
      <c r="D8" s="25" t="s">
        <v>32</v>
      </c>
      <c r="E8" t="s">
        <v>33</v>
      </c>
      <c r="F8" t="s">
        <v>34</v>
      </c>
      <c r="I8" t="s">
        <v>36</v>
      </c>
      <c r="J8" t="s">
        <v>37</v>
      </c>
      <c r="K8" s="25" t="s">
        <v>38</v>
      </c>
      <c r="L8" t="s">
        <v>39</v>
      </c>
      <c r="M8" t="s">
        <v>34</v>
      </c>
    </row>
    <row r="9" spans="1:17" x14ac:dyDescent="0.25">
      <c r="B9">
        <f>D3-D6</f>
        <v>9</v>
      </c>
      <c r="C9">
        <f>C3-C6</f>
        <v>6</v>
      </c>
      <c r="D9">
        <f>B9*C9</f>
        <v>54</v>
      </c>
      <c r="E9">
        <f>B9^2</f>
        <v>81</v>
      </c>
      <c r="F9">
        <v>36</v>
      </c>
      <c r="I9" s="37">
        <f>E3-E6</f>
        <v>-133.33333333333212</v>
      </c>
      <c r="J9">
        <f>C3-C6</f>
        <v>6</v>
      </c>
      <c r="K9" s="39">
        <f>I9*J9</f>
        <v>-799.99999999999272</v>
      </c>
      <c r="L9" s="37">
        <f>I9^2</f>
        <v>17777.777777777454</v>
      </c>
      <c r="M9">
        <v>36</v>
      </c>
    </row>
    <row r="10" spans="1:17" x14ac:dyDescent="0.25">
      <c r="B10">
        <f>D4-D6</f>
        <v>-57</v>
      </c>
      <c r="C10">
        <f>C4-C6</f>
        <v>-1</v>
      </c>
      <c r="D10">
        <f>B10*C10</f>
        <v>57</v>
      </c>
      <c r="E10">
        <f>B10^2</f>
        <v>3249</v>
      </c>
      <c r="F10">
        <v>1</v>
      </c>
      <c r="I10" s="38">
        <f>E4-E6</f>
        <v>0</v>
      </c>
      <c r="J10">
        <f>C4-C6</f>
        <v>-1</v>
      </c>
      <c r="K10">
        <f>I10*J10</f>
        <v>0</v>
      </c>
      <c r="L10" s="38">
        <f>I10^2</f>
        <v>0</v>
      </c>
      <c r="M10">
        <v>1</v>
      </c>
    </row>
    <row r="11" spans="1:17" x14ac:dyDescent="0.25">
      <c r="B11">
        <f>D5-D6</f>
        <v>48</v>
      </c>
      <c r="C11" s="29">
        <f>C5-C6</f>
        <v>-5</v>
      </c>
      <c r="D11">
        <f>B11*C11</f>
        <v>-240</v>
      </c>
      <c r="E11">
        <f>B11^2</f>
        <v>2304</v>
      </c>
      <c r="F11">
        <v>25</v>
      </c>
      <c r="I11" s="37">
        <f>E5-E6</f>
        <v>133.3333333333394</v>
      </c>
      <c r="J11">
        <f>C5-C6</f>
        <v>-5</v>
      </c>
      <c r="K11" s="37">
        <f>I11*J11</f>
        <v>-666.66666666669698</v>
      </c>
      <c r="L11" s="37">
        <f>I11^2</f>
        <v>17777.777777779396</v>
      </c>
      <c r="M11">
        <v>25</v>
      </c>
    </row>
    <row r="12" spans="1:17" x14ac:dyDescent="0.25">
      <c r="A12" s="30" t="s">
        <v>35</v>
      </c>
      <c r="B12">
        <f>SUM(B9:B11)</f>
        <v>0</v>
      </c>
      <c r="C12">
        <f>SUM(C9:C11)</f>
        <v>0</v>
      </c>
      <c r="D12">
        <f>SUM(D9:D11)</f>
        <v>-129</v>
      </c>
      <c r="E12">
        <f>SUM(E9:E11)</f>
        <v>5634</v>
      </c>
      <c r="F12">
        <f>SUM(F9:F11)</f>
        <v>62</v>
      </c>
      <c r="H12" s="30" t="s">
        <v>35</v>
      </c>
      <c r="I12" s="37">
        <f>SUM(I9:I11)</f>
        <v>7.2759576141834259E-12</v>
      </c>
      <c r="J12">
        <f>SUM(J9:J11)</f>
        <v>0</v>
      </c>
      <c r="K12" s="37">
        <f>SUM(K9:K11)</f>
        <v>-1466.6666666666897</v>
      </c>
      <c r="L12" s="37">
        <f>SUM(L9:L11)</f>
        <v>35555.55555555685</v>
      </c>
      <c r="M12" s="37">
        <f>SUM(M9:M11)</f>
        <v>62</v>
      </c>
    </row>
    <row r="14" spans="1:17" ht="51.75" x14ac:dyDescent="0.25">
      <c r="A14" s="26" t="s">
        <v>59</v>
      </c>
      <c r="B14" s="14">
        <v>-0.21</v>
      </c>
      <c r="H14" s="41" t="s">
        <v>58</v>
      </c>
      <c r="I14" s="14">
        <v>-0.98</v>
      </c>
    </row>
    <row r="16" spans="1:17" ht="45" x14ac:dyDescent="0.25">
      <c r="B16" s="2" t="s">
        <v>40</v>
      </c>
      <c r="C16" t="s">
        <v>31</v>
      </c>
      <c r="D16" s="25" t="s">
        <v>41</v>
      </c>
      <c r="E16" t="s">
        <v>42</v>
      </c>
      <c r="F16" t="s">
        <v>34</v>
      </c>
      <c r="I16" t="s">
        <v>43</v>
      </c>
      <c r="J16" t="s">
        <v>37</v>
      </c>
      <c r="K16" s="25" t="s">
        <v>44</v>
      </c>
      <c r="L16" t="s">
        <v>45</v>
      </c>
      <c r="M16" t="s">
        <v>34</v>
      </c>
    </row>
    <row r="17" spans="1:13" x14ac:dyDescent="0.25">
      <c r="B17" s="37">
        <f>F3-F6</f>
        <v>-6354</v>
      </c>
      <c r="C17">
        <v>6</v>
      </c>
      <c r="D17" s="37">
        <f>B17*C17</f>
        <v>-38124</v>
      </c>
      <c r="E17" s="37">
        <f t="shared" ref="E17:F19" si="1">B17^2</f>
        <v>40373316</v>
      </c>
      <c r="F17">
        <f t="shared" si="1"/>
        <v>36</v>
      </c>
      <c r="I17" s="37">
        <f>G3-G6</f>
        <v>-6281.6666666666279</v>
      </c>
      <c r="J17">
        <v>6</v>
      </c>
      <c r="K17" s="37">
        <f>I17*J17</f>
        <v>-37689.999999999767</v>
      </c>
      <c r="L17" s="37">
        <f>I17^2</f>
        <v>39459336.11111062</v>
      </c>
      <c r="M17">
        <v>36</v>
      </c>
    </row>
    <row r="18" spans="1:13" x14ac:dyDescent="0.25">
      <c r="B18" s="37">
        <f>F4-F6</f>
        <v>3864</v>
      </c>
      <c r="C18">
        <v>-1</v>
      </c>
      <c r="D18" s="37">
        <f>B18*C18</f>
        <v>-3864</v>
      </c>
      <c r="E18" s="37">
        <f t="shared" si="1"/>
        <v>14930496</v>
      </c>
      <c r="F18">
        <f t="shared" si="1"/>
        <v>1</v>
      </c>
      <c r="I18" s="37">
        <f>G4-G6</f>
        <v>8618.3333333333721</v>
      </c>
      <c r="J18">
        <v>-1</v>
      </c>
      <c r="K18" s="37">
        <f>I18*J18</f>
        <v>-8618.3333333333721</v>
      </c>
      <c r="L18" s="37">
        <f>I18^2</f>
        <v>74275669.444445118</v>
      </c>
      <c r="M18">
        <v>1</v>
      </c>
    </row>
    <row r="19" spans="1:13" x14ac:dyDescent="0.25">
      <c r="B19" s="37">
        <f>F5-F6</f>
        <v>2490</v>
      </c>
      <c r="C19">
        <v>-5</v>
      </c>
      <c r="D19" s="37">
        <f>B19*C19</f>
        <v>-12450</v>
      </c>
      <c r="E19" s="37">
        <f t="shared" si="1"/>
        <v>6200100</v>
      </c>
      <c r="F19">
        <f t="shared" si="1"/>
        <v>25</v>
      </c>
      <c r="I19" s="37">
        <f>G5-G6</f>
        <v>-2336.6666666666279</v>
      </c>
      <c r="J19">
        <v>-5</v>
      </c>
      <c r="K19" s="37">
        <f>I19*J19</f>
        <v>11683.333333333139</v>
      </c>
      <c r="L19" s="37">
        <f>I19^2</f>
        <v>5460011.1111109294</v>
      </c>
      <c r="M19">
        <v>25</v>
      </c>
    </row>
    <row r="20" spans="1:13" x14ac:dyDescent="0.25">
      <c r="A20" s="30" t="s">
        <v>35</v>
      </c>
      <c r="B20" s="29">
        <f>SUM(B17:B19)</f>
        <v>0</v>
      </c>
      <c r="C20">
        <f>SUM(C17:C19)</f>
        <v>0</v>
      </c>
      <c r="D20" s="37">
        <f>SUM(D17:D19)</f>
        <v>-54438</v>
      </c>
      <c r="E20" s="37">
        <f>SUM(E17:E19)</f>
        <v>61503912</v>
      </c>
      <c r="F20">
        <f>SUM(F17:F19)</f>
        <v>62</v>
      </c>
      <c r="H20" s="30" t="s">
        <v>35</v>
      </c>
      <c r="I20" s="37">
        <f>SUM(I17:I19)</f>
        <v>1.1641532182693481E-10</v>
      </c>
      <c r="J20">
        <f>SUM(J17:J19)</f>
        <v>0</v>
      </c>
      <c r="K20" s="37">
        <f>SUM(K17:K19)</f>
        <v>-34625</v>
      </c>
      <c r="L20" s="37">
        <f>SUM(L17:L19)</f>
        <v>119195016.66666666</v>
      </c>
      <c r="M20">
        <v>62</v>
      </c>
    </row>
    <row r="22" spans="1:13" ht="36.75" x14ac:dyDescent="0.25">
      <c r="A22" s="42" t="s">
        <v>60</v>
      </c>
      <c r="B22" s="14">
        <v>-0.88</v>
      </c>
      <c r="H22" s="42" t="s">
        <v>61</v>
      </c>
      <c r="I22" s="14">
        <v>-0.4</v>
      </c>
    </row>
    <row r="24" spans="1:13" ht="45" x14ac:dyDescent="0.25">
      <c r="B24" s="2" t="s">
        <v>46</v>
      </c>
      <c r="C24" t="s">
        <v>31</v>
      </c>
      <c r="D24" s="25" t="s">
        <v>47</v>
      </c>
      <c r="E24" t="s">
        <v>48</v>
      </c>
      <c r="F24" t="s">
        <v>34</v>
      </c>
      <c r="I24" t="s">
        <v>49</v>
      </c>
      <c r="J24" t="s">
        <v>37</v>
      </c>
      <c r="K24" s="25" t="s">
        <v>50</v>
      </c>
      <c r="L24" t="s">
        <v>51</v>
      </c>
      <c r="M24" t="s">
        <v>34</v>
      </c>
    </row>
    <row r="25" spans="1:13" x14ac:dyDescent="0.25">
      <c r="B25" s="15">
        <f>H3-H6</f>
        <v>68.333333333333343</v>
      </c>
      <c r="C25">
        <v>6</v>
      </c>
      <c r="D25">
        <f>B25*C25</f>
        <v>410.00000000000006</v>
      </c>
      <c r="E25" s="40">
        <f>B25^2</f>
        <v>4669.4444444444462</v>
      </c>
      <c r="F25">
        <v>36</v>
      </c>
      <c r="I25" s="15">
        <f>I3-I6</f>
        <v>3.3333333333333339</v>
      </c>
      <c r="J25">
        <v>6</v>
      </c>
      <c r="K25">
        <f>I25*J25</f>
        <v>20.000000000000004</v>
      </c>
      <c r="L25" s="15">
        <f>I25^2</f>
        <v>11.111111111111114</v>
      </c>
      <c r="M25">
        <v>36</v>
      </c>
    </row>
    <row r="26" spans="1:13" x14ac:dyDescent="0.25">
      <c r="B26" s="15">
        <f>H4-H6</f>
        <v>-27.666666666666657</v>
      </c>
      <c r="C26">
        <v>-1</v>
      </c>
      <c r="D26" s="15">
        <f>B26*C26</f>
        <v>27.666666666666657</v>
      </c>
      <c r="E26" s="40">
        <f>B26^2</f>
        <v>765.44444444444389</v>
      </c>
      <c r="F26">
        <v>1</v>
      </c>
      <c r="I26" s="15">
        <f>I4-I6</f>
        <v>4.3333333333333339</v>
      </c>
      <c r="J26">
        <v>-1</v>
      </c>
      <c r="K26" s="15">
        <f>I26*J26</f>
        <v>-4.3333333333333339</v>
      </c>
      <c r="L26" s="15">
        <f>I26^2</f>
        <v>18.777777777777782</v>
      </c>
      <c r="M26">
        <v>1</v>
      </c>
    </row>
    <row r="27" spans="1:13" x14ac:dyDescent="0.25">
      <c r="B27" s="15">
        <f>H5-H6</f>
        <v>-40.666666666666657</v>
      </c>
      <c r="C27">
        <v>-5</v>
      </c>
      <c r="D27" s="15">
        <f>B27*C27</f>
        <v>203.33333333333329</v>
      </c>
      <c r="E27" s="40">
        <f>B27^2</f>
        <v>1653.7777777777769</v>
      </c>
      <c r="F27">
        <v>25</v>
      </c>
      <c r="I27" s="15">
        <f>I5-I6</f>
        <v>-7.6666666666666661</v>
      </c>
      <c r="J27">
        <v>-5</v>
      </c>
      <c r="K27" s="15">
        <f>I27*J27</f>
        <v>38.333333333333329</v>
      </c>
      <c r="L27" s="15">
        <f>I27^2</f>
        <v>58.777777777777771</v>
      </c>
      <c r="M27">
        <v>25</v>
      </c>
    </row>
    <row r="28" spans="1:13" x14ac:dyDescent="0.25">
      <c r="A28" s="30" t="s">
        <v>35</v>
      </c>
      <c r="C28">
        <v>0</v>
      </c>
      <c r="D28">
        <f>SUM(D25:D27)</f>
        <v>641</v>
      </c>
      <c r="E28" s="40">
        <f>SUM(E25:E27)</f>
        <v>7088.6666666666679</v>
      </c>
      <c r="F28">
        <v>62</v>
      </c>
      <c r="H28" s="30" t="s">
        <v>35</v>
      </c>
      <c r="I28" s="15">
        <f>SUM(I25:I27)</f>
        <v>0</v>
      </c>
      <c r="J28">
        <v>0</v>
      </c>
      <c r="K28">
        <f>SUM(K25:K27)</f>
        <v>54</v>
      </c>
      <c r="L28" s="15">
        <f>SUM(L25:L27)</f>
        <v>88.666666666666671</v>
      </c>
      <c r="M28">
        <v>62</v>
      </c>
    </row>
    <row r="30" spans="1:13" ht="48.75" x14ac:dyDescent="0.25">
      <c r="A30" s="42" t="s">
        <v>62</v>
      </c>
      <c r="B30" s="14">
        <v>0.96</v>
      </c>
      <c r="H30" s="42" t="s">
        <v>63</v>
      </c>
      <c r="I30" s="14">
        <v>0.72</v>
      </c>
    </row>
    <row r="33" spans="1:13" ht="45" x14ac:dyDescent="0.25">
      <c r="B33" s="2" t="s">
        <v>52</v>
      </c>
      <c r="C33" t="s">
        <v>31</v>
      </c>
      <c r="D33" s="25" t="s">
        <v>53</v>
      </c>
      <c r="E33" t="s">
        <v>54</v>
      </c>
      <c r="F33" t="s">
        <v>34</v>
      </c>
      <c r="I33" t="s">
        <v>55</v>
      </c>
      <c r="J33" t="s">
        <v>37</v>
      </c>
      <c r="K33" s="25" t="s">
        <v>56</v>
      </c>
      <c r="L33" t="s">
        <v>57</v>
      </c>
      <c r="M33" t="s">
        <v>34</v>
      </c>
    </row>
    <row r="34" spans="1:13" x14ac:dyDescent="0.25">
      <c r="B34" s="15">
        <f>J3-J6</f>
        <v>-3.0133705846252212</v>
      </c>
      <c r="C34">
        <v>6</v>
      </c>
      <c r="D34" s="15">
        <f>B34*C34</f>
        <v>-18.080223507751327</v>
      </c>
      <c r="E34" s="15">
        <f>B34^2</f>
        <v>9.080402280284547</v>
      </c>
      <c r="F34">
        <v>36</v>
      </c>
      <c r="I34">
        <f>K3-K6</f>
        <v>5</v>
      </c>
      <c r="J34">
        <v>6</v>
      </c>
      <c r="K34">
        <f>I34*J34</f>
        <v>30</v>
      </c>
      <c r="L34">
        <f>I34^2</f>
        <v>25</v>
      </c>
      <c r="M34">
        <v>36</v>
      </c>
    </row>
    <row r="35" spans="1:13" x14ac:dyDescent="0.25">
      <c r="B35" s="15">
        <f>J4-J6</f>
        <v>1.2436286297513064</v>
      </c>
      <c r="C35">
        <v>-1</v>
      </c>
      <c r="D35" s="15">
        <f>B35*C35</f>
        <v>-1.2436286297513064</v>
      </c>
      <c r="E35" s="15">
        <f>B35^2</f>
        <v>1.5466121687371119</v>
      </c>
      <c r="F35">
        <v>1</v>
      </c>
      <c r="I35">
        <f>K4-K6</f>
        <v>1</v>
      </c>
      <c r="J35">
        <v>-1</v>
      </c>
      <c r="K35">
        <f>I35*J35</f>
        <v>-1</v>
      </c>
      <c r="L35">
        <f>I35^2</f>
        <v>1</v>
      </c>
      <c r="M35">
        <v>1</v>
      </c>
    </row>
    <row r="36" spans="1:13" x14ac:dyDescent="0.25">
      <c r="B36" s="15">
        <f>J5-J6</f>
        <v>1.769741954873929</v>
      </c>
      <c r="C36">
        <v>-5</v>
      </c>
      <c r="D36" s="15">
        <f>B36*C36</f>
        <v>-8.8487097743696452</v>
      </c>
      <c r="E36" s="15">
        <f>B36^2</f>
        <v>3.1319865868409957</v>
      </c>
      <c r="F36">
        <v>25</v>
      </c>
      <c r="I36">
        <f>K5-K6</f>
        <v>-6</v>
      </c>
      <c r="J36">
        <v>-5</v>
      </c>
      <c r="K36">
        <f>I36*J36</f>
        <v>30</v>
      </c>
      <c r="L36">
        <f>I36^2</f>
        <v>36</v>
      </c>
      <c r="M36">
        <v>25</v>
      </c>
    </row>
    <row r="37" spans="1:13" x14ac:dyDescent="0.25">
      <c r="A37" s="30" t="s">
        <v>35</v>
      </c>
      <c r="C37">
        <v>0</v>
      </c>
      <c r="D37" s="15">
        <f>SUM(D34:D36)</f>
        <v>-28.172561911872279</v>
      </c>
      <c r="E37" s="15">
        <f>SUM(E34:E36)</f>
        <v>13.759001035862653</v>
      </c>
      <c r="F37">
        <v>62</v>
      </c>
      <c r="H37" s="30" t="s">
        <v>35</v>
      </c>
      <c r="I37">
        <v>0</v>
      </c>
      <c r="J37">
        <v>0</v>
      </c>
      <c r="K37">
        <f>SUM(K34:K36)</f>
        <v>59</v>
      </c>
      <c r="L37">
        <f>SUM(L34:L36)</f>
        <v>62</v>
      </c>
      <c r="M37">
        <v>62</v>
      </c>
    </row>
    <row r="39" spans="1:13" ht="36.75" x14ac:dyDescent="0.25">
      <c r="A39" s="42" t="s">
        <v>64</v>
      </c>
      <c r="B39" s="14">
        <v>-0.96</v>
      </c>
      <c r="H39" s="42" t="s">
        <v>65</v>
      </c>
      <c r="I39" s="14">
        <v>0.95</v>
      </c>
    </row>
  </sheetData>
  <pageMargins left="0.7" right="0.7" top="0.75" bottom="0.75" header="0.3" footer="0.3"/>
  <pageSetup orientation="portrait" horizontalDpi="4294967292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0ED62-28C3-48C8-B728-97751B90700D}">
  <dimension ref="A1:K4"/>
  <sheetViews>
    <sheetView workbookViewId="0">
      <selection activeCell="M4" sqref="M4"/>
    </sheetView>
  </sheetViews>
  <sheetFormatPr baseColWidth="10" defaultRowHeight="15" x14ac:dyDescent="0.25"/>
  <cols>
    <col min="1" max="1" width="7.5703125" customWidth="1"/>
    <col min="2" max="2" width="8.85546875" customWidth="1"/>
    <col min="3" max="3" width="9.7109375" customWidth="1"/>
    <col min="4" max="4" width="10.7109375" customWidth="1"/>
    <col min="6" max="6" width="12.5703125" customWidth="1"/>
    <col min="8" max="8" width="13" customWidth="1"/>
    <col min="9" max="9" width="12.140625" customWidth="1"/>
  </cols>
  <sheetData>
    <row r="1" spans="1:11" ht="39" customHeight="1" x14ac:dyDescent="0.25">
      <c r="A1" s="75" t="s">
        <v>0</v>
      </c>
      <c r="B1" s="67" t="s">
        <v>85</v>
      </c>
      <c r="C1" s="67" t="s">
        <v>2</v>
      </c>
      <c r="D1" s="67" t="s">
        <v>3</v>
      </c>
      <c r="E1" s="67" t="s">
        <v>4</v>
      </c>
      <c r="F1" s="67" t="s">
        <v>5</v>
      </c>
      <c r="G1" s="67" t="s">
        <v>6</v>
      </c>
      <c r="H1" s="67" t="s">
        <v>7</v>
      </c>
      <c r="I1" s="67" t="s">
        <v>8</v>
      </c>
      <c r="J1" s="67" t="s">
        <v>9</v>
      </c>
      <c r="K1" s="67" t="s">
        <v>11</v>
      </c>
    </row>
    <row r="2" spans="1:11" ht="36" customHeight="1" x14ac:dyDescent="0.25">
      <c r="A2" s="68">
        <v>2022</v>
      </c>
      <c r="B2" s="68" t="s">
        <v>12</v>
      </c>
      <c r="C2" s="68">
        <v>12</v>
      </c>
      <c r="D2" s="68">
        <v>764</v>
      </c>
      <c r="E2" s="69">
        <v>16600</v>
      </c>
      <c r="F2" s="69">
        <v>24118</v>
      </c>
      <c r="G2" s="69">
        <v>618986</v>
      </c>
      <c r="H2" s="70">
        <v>247</v>
      </c>
      <c r="I2" s="70">
        <v>16</v>
      </c>
      <c r="J2" s="71">
        <v>47.015532967254501</v>
      </c>
      <c r="K2" s="70">
        <v>50</v>
      </c>
    </row>
    <row r="3" spans="1:11" ht="38.25" customHeight="1" x14ac:dyDescent="0.25">
      <c r="A3" s="68">
        <v>2023</v>
      </c>
      <c r="B3" s="68" t="s">
        <v>12</v>
      </c>
      <c r="C3" s="68">
        <v>5</v>
      </c>
      <c r="D3" s="68">
        <v>698</v>
      </c>
      <c r="E3" s="69">
        <v>16733.333333333328</v>
      </c>
      <c r="F3" s="69">
        <v>34336</v>
      </c>
      <c r="G3" s="69">
        <v>633886</v>
      </c>
      <c r="H3" s="68">
        <v>151</v>
      </c>
      <c r="I3" s="68">
        <v>17</v>
      </c>
      <c r="J3" s="72">
        <v>51.272532181631028</v>
      </c>
      <c r="K3" s="68">
        <v>46</v>
      </c>
    </row>
    <row r="4" spans="1:11" ht="36.75" customHeight="1" x14ac:dyDescent="0.25">
      <c r="A4" s="68">
        <v>2024</v>
      </c>
      <c r="B4" s="68" t="s">
        <v>12</v>
      </c>
      <c r="C4" s="68">
        <v>1</v>
      </c>
      <c r="D4" s="68">
        <v>803</v>
      </c>
      <c r="E4" s="69">
        <v>16866.666666666672</v>
      </c>
      <c r="F4" s="69">
        <v>32962</v>
      </c>
      <c r="G4" s="69">
        <v>622931</v>
      </c>
      <c r="H4" s="73">
        <v>138</v>
      </c>
      <c r="I4" s="73">
        <v>5</v>
      </c>
      <c r="J4" s="74">
        <v>51.798645506753651</v>
      </c>
      <c r="K4" s="73">
        <v>39</v>
      </c>
    </row>
  </sheetData>
  <pageMargins left="0.7" right="0.7" top="0.75" bottom="0.75" header="0.3" footer="0.3"/>
  <pageSetup orientation="portrait" horizontalDpi="4294967292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EE2FD-9283-4EB9-9588-EA168503B06D}">
  <dimension ref="A1:L18"/>
  <sheetViews>
    <sheetView tabSelected="1" topLeftCell="A3" workbookViewId="0">
      <selection activeCell="K7" sqref="K7"/>
    </sheetView>
  </sheetViews>
  <sheetFormatPr baseColWidth="10" defaultRowHeight="15" x14ac:dyDescent="0.25"/>
  <cols>
    <col min="1" max="1" width="15.42578125" customWidth="1"/>
    <col min="2" max="2" width="21.5703125" customWidth="1"/>
    <col min="3" max="3" width="43.42578125" customWidth="1"/>
    <col min="6" max="6" width="12.28515625" customWidth="1"/>
    <col min="8" max="8" width="12.5703125" customWidth="1"/>
    <col min="9" max="9" width="12.28515625" customWidth="1"/>
    <col min="11" max="11" width="10.5703125" customWidth="1"/>
  </cols>
  <sheetData>
    <row r="1" spans="1:12" ht="39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43">
        <v>2022</v>
      </c>
      <c r="B2" s="43" t="s">
        <v>12</v>
      </c>
      <c r="C2" s="43">
        <v>12</v>
      </c>
      <c r="D2" s="43">
        <v>764</v>
      </c>
      <c r="E2" s="44">
        <v>16600</v>
      </c>
      <c r="F2" s="44">
        <v>24118</v>
      </c>
      <c r="G2" s="44">
        <v>618986</v>
      </c>
      <c r="H2" s="45">
        <v>247</v>
      </c>
      <c r="I2" s="45">
        <v>16</v>
      </c>
      <c r="J2" s="46">
        <v>47.015532967254501</v>
      </c>
      <c r="K2" s="45" t="s">
        <v>13</v>
      </c>
      <c r="L2" s="47">
        <v>50</v>
      </c>
    </row>
    <row r="3" spans="1:12" x14ac:dyDescent="0.25">
      <c r="A3" s="43">
        <v>2023</v>
      </c>
      <c r="B3" s="43" t="s">
        <v>12</v>
      </c>
      <c r="C3" s="43">
        <v>5</v>
      </c>
      <c r="D3" s="43">
        <v>698</v>
      </c>
      <c r="E3" s="44">
        <v>16733.333333333328</v>
      </c>
      <c r="F3" s="44">
        <v>34336</v>
      </c>
      <c r="G3" s="44">
        <v>633886</v>
      </c>
      <c r="H3" s="48">
        <v>151</v>
      </c>
      <c r="I3" s="48">
        <v>17</v>
      </c>
      <c r="J3" s="49">
        <v>51.272532181631028</v>
      </c>
      <c r="K3" s="48" t="s">
        <v>13</v>
      </c>
      <c r="L3" s="50">
        <v>46</v>
      </c>
    </row>
    <row r="4" spans="1:12" x14ac:dyDescent="0.25">
      <c r="A4" s="43">
        <v>2024</v>
      </c>
      <c r="B4" s="43" t="s">
        <v>12</v>
      </c>
      <c r="C4" s="43">
        <v>1</v>
      </c>
      <c r="D4" s="43">
        <v>803</v>
      </c>
      <c r="E4" s="44">
        <v>16866.666666666672</v>
      </c>
      <c r="F4" s="44">
        <v>32962</v>
      </c>
      <c r="G4" s="44">
        <v>622931</v>
      </c>
      <c r="H4" s="51">
        <v>138</v>
      </c>
      <c r="I4" s="51">
        <v>5</v>
      </c>
      <c r="J4" s="52">
        <v>51.798645506753651</v>
      </c>
      <c r="K4" s="51" t="s">
        <v>13</v>
      </c>
      <c r="L4" s="53">
        <v>39</v>
      </c>
    </row>
    <row r="5" spans="1:12" x14ac:dyDescent="0.25">
      <c r="B5" s="18" t="s">
        <v>14</v>
      </c>
      <c r="C5" s="11">
        <f t="shared" ref="C5:J5" si="0">AVERAGE(C2:C4)</f>
        <v>6</v>
      </c>
      <c r="D5" s="11">
        <f t="shared" si="0"/>
        <v>755</v>
      </c>
      <c r="E5" s="31">
        <f t="shared" si="0"/>
        <v>16733.333333333332</v>
      </c>
      <c r="F5" s="31">
        <f t="shared" si="0"/>
        <v>30472</v>
      </c>
      <c r="G5" s="31">
        <f t="shared" si="0"/>
        <v>625267.66666666663</v>
      </c>
      <c r="H5" s="31">
        <f t="shared" si="0"/>
        <v>178.66666666666666</v>
      </c>
      <c r="I5" s="31">
        <f t="shared" si="0"/>
        <v>12.666666666666666</v>
      </c>
      <c r="J5" s="31">
        <f t="shared" si="0"/>
        <v>50.028903551879722</v>
      </c>
      <c r="K5" s="11"/>
      <c r="L5" s="11">
        <f>AVERAGE(L2:L4)</f>
        <v>45</v>
      </c>
    </row>
    <row r="6" spans="1:12" ht="26.25" x14ac:dyDescent="0.25">
      <c r="B6" s="19" t="s">
        <v>18</v>
      </c>
      <c r="C6" s="13"/>
      <c r="D6" s="13">
        <v>2817</v>
      </c>
      <c r="E6" s="20">
        <v>17777.78</v>
      </c>
      <c r="F6" s="20">
        <v>30751956</v>
      </c>
      <c r="G6" s="20">
        <v>59597508.329999998</v>
      </c>
      <c r="H6" s="20">
        <v>3544.33</v>
      </c>
      <c r="I6" s="20">
        <v>44.33</v>
      </c>
      <c r="J6" s="20">
        <v>6.88</v>
      </c>
      <c r="K6" s="13"/>
      <c r="L6" s="20">
        <v>31</v>
      </c>
    </row>
    <row r="7" spans="1:12" x14ac:dyDescent="0.25">
      <c r="B7" s="21" t="s">
        <v>17</v>
      </c>
      <c r="C7" s="22"/>
      <c r="D7" s="23">
        <v>53.08</v>
      </c>
      <c r="E7" s="24">
        <v>133.33000000000001</v>
      </c>
      <c r="F7" s="24">
        <v>5545.44</v>
      </c>
      <c r="G7" s="24">
        <v>7719.94</v>
      </c>
      <c r="H7" s="24">
        <v>59.53</v>
      </c>
      <c r="I7" s="24">
        <v>6.66</v>
      </c>
      <c r="J7" s="24">
        <v>2.62</v>
      </c>
      <c r="K7" s="22"/>
      <c r="L7" s="24">
        <v>5.57</v>
      </c>
    </row>
    <row r="9" spans="1:12" x14ac:dyDescent="0.25">
      <c r="A9" s="61" t="s">
        <v>68</v>
      </c>
      <c r="B9" s="62" t="s">
        <v>66</v>
      </c>
      <c r="C9" s="63" t="s">
        <v>67</v>
      </c>
      <c r="D9" s="54"/>
      <c r="E9" s="27"/>
      <c r="F9" s="27"/>
      <c r="G9" s="27"/>
      <c r="H9" s="27"/>
      <c r="I9" s="27"/>
    </row>
    <row r="10" spans="1:12" ht="24.75" x14ac:dyDescent="0.25">
      <c r="A10" s="66" t="s">
        <v>79</v>
      </c>
      <c r="B10" s="55">
        <v>0.96</v>
      </c>
      <c r="C10" s="58" t="s">
        <v>72</v>
      </c>
      <c r="D10" s="54"/>
      <c r="E10" s="27"/>
      <c r="F10" s="27"/>
      <c r="G10" s="27"/>
      <c r="H10" s="27"/>
      <c r="I10" s="27"/>
    </row>
    <row r="11" spans="1:12" ht="24.75" x14ac:dyDescent="0.25">
      <c r="A11" s="66" t="s">
        <v>80</v>
      </c>
      <c r="B11" s="55">
        <v>0.95</v>
      </c>
      <c r="C11" s="59" t="s">
        <v>73</v>
      </c>
      <c r="D11" s="54"/>
      <c r="E11" s="27"/>
      <c r="F11" s="27"/>
      <c r="G11" s="27"/>
      <c r="H11" s="27"/>
      <c r="I11" s="27"/>
    </row>
    <row r="12" spans="1:12" ht="24.75" x14ac:dyDescent="0.25">
      <c r="A12" s="57" t="s">
        <v>69</v>
      </c>
      <c r="B12" s="55">
        <v>-0.96</v>
      </c>
      <c r="C12" s="58" t="s">
        <v>71</v>
      </c>
      <c r="D12" s="54"/>
      <c r="E12" s="27"/>
      <c r="F12" s="27"/>
      <c r="G12" s="27"/>
      <c r="H12" s="27"/>
      <c r="I12" s="27"/>
    </row>
    <row r="13" spans="1:12" ht="24.75" x14ac:dyDescent="0.25">
      <c r="A13" s="66" t="s">
        <v>81</v>
      </c>
      <c r="B13" s="55">
        <v>-0.98</v>
      </c>
      <c r="C13" s="60" t="s">
        <v>74</v>
      </c>
      <c r="D13" s="54"/>
      <c r="E13" s="27"/>
      <c r="F13" s="27"/>
      <c r="G13" s="27"/>
      <c r="H13" s="27"/>
      <c r="I13" s="27"/>
    </row>
    <row r="14" spans="1:12" ht="24.75" x14ac:dyDescent="0.25">
      <c r="A14" s="57" t="s">
        <v>82</v>
      </c>
      <c r="B14" s="55">
        <v>-0.88</v>
      </c>
      <c r="C14" s="58" t="s">
        <v>75</v>
      </c>
      <c r="D14" s="54"/>
      <c r="E14" s="27"/>
      <c r="F14" s="27"/>
      <c r="G14" s="27"/>
      <c r="H14" s="27"/>
      <c r="I14" s="27"/>
    </row>
    <row r="15" spans="1:12" ht="24.75" x14ac:dyDescent="0.25">
      <c r="A15" s="66" t="s">
        <v>83</v>
      </c>
      <c r="B15" s="55">
        <v>-0.21</v>
      </c>
      <c r="C15" s="60" t="s">
        <v>76</v>
      </c>
      <c r="D15" s="54"/>
      <c r="E15" s="27"/>
      <c r="F15" s="27"/>
      <c r="G15" s="27"/>
      <c r="H15" s="27"/>
      <c r="I15" s="27"/>
    </row>
    <row r="16" spans="1:12" x14ac:dyDescent="0.25">
      <c r="A16" s="66" t="s">
        <v>70</v>
      </c>
      <c r="B16" s="56">
        <v>-0.4</v>
      </c>
      <c r="C16" s="60" t="s">
        <v>77</v>
      </c>
      <c r="D16" s="54"/>
      <c r="E16" s="27"/>
      <c r="F16" s="27"/>
      <c r="G16" s="27"/>
      <c r="H16" s="27"/>
      <c r="I16" s="27"/>
    </row>
    <row r="17" spans="1:9" ht="24.75" x14ac:dyDescent="0.25">
      <c r="A17" s="76" t="s">
        <v>84</v>
      </c>
      <c r="B17" s="64">
        <v>0.72</v>
      </c>
      <c r="C17" s="65" t="s">
        <v>78</v>
      </c>
      <c r="D17" s="54"/>
      <c r="E17" s="27"/>
      <c r="F17" s="27"/>
      <c r="G17" s="27"/>
      <c r="H17" s="27"/>
      <c r="I17" s="27"/>
    </row>
    <row r="18" spans="1:9" x14ac:dyDescent="0.25">
      <c r="A18" s="27"/>
      <c r="B18" s="27"/>
      <c r="C18" s="27"/>
      <c r="D18" s="27"/>
      <c r="E18" s="27"/>
      <c r="F18" s="27"/>
      <c r="G18" s="27"/>
      <c r="H18" s="27"/>
      <c r="I18" s="27"/>
    </row>
  </sheetData>
  <pageMargins left="0.7" right="0.7" top="0.75" bottom="0.75" header="0.3" footer="0.3"/>
  <pageSetup orientation="portrait" horizontalDpi="4294967292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Datos_Media</vt:lpstr>
      <vt:lpstr>Correlación de Pearson</vt:lpstr>
      <vt:lpstr>Hoja1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Familia</dc:creator>
  <cp:lastModifiedBy>Lenovo Familia</cp:lastModifiedBy>
  <dcterms:created xsi:type="dcterms:W3CDTF">2025-11-12T06:27:01Z</dcterms:created>
  <dcterms:modified xsi:type="dcterms:W3CDTF">2025-11-18T07:45:33Z</dcterms:modified>
</cp:coreProperties>
</file>